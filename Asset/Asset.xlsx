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Asset\"/>
    </mc:Choice>
  </mc:AlternateContent>
  <xr:revisionPtr revIDLastSave="0" documentId="13_ncr:1_{CCA215E7-7BA5-4CEB-9837-1034249325CE}" xr6:coauthVersionLast="47" xr6:coauthVersionMax="47" xr10:uidLastSave="{00000000-0000-0000-0000-000000000000}"/>
  <bookViews>
    <workbookView xWindow="-108" yWindow="-108" windowWidth="23256" windowHeight="12456" xr2:uid="{BCB1E2C5-8091-44EE-BB62-F49286A49B2E}"/>
  </bookViews>
  <sheets>
    <sheet name="Dashboard" sheetId="7" r:id="rId1"/>
    <sheet name="Asset" sheetId="1" r:id="rId2"/>
    <sheet name="Stock IT" sheetId="2" r:id="rId3"/>
    <sheet name="Mouse,Key" sheetId="4" r:id="rId4"/>
    <sheet name="Damage" sheetId="3" r:id="rId5"/>
  </sheets>
  <definedNames>
    <definedName name="_xlnm.Print_Area" localSheetId="0">Dashboard!$A$1:$J$35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7" l="1"/>
  <c r="D20" i="7"/>
  <c r="D19" i="7"/>
  <c r="D18" i="7"/>
  <c r="B21" i="7"/>
  <c r="B20" i="7"/>
  <c r="B19" i="7"/>
  <c r="E13" i="7"/>
  <c r="E12" i="7"/>
  <c r="B13" i="7"/>
  <c r="B12" i="7"/>
  <c r="E5" i="7"/>
  <c r="C5" i="7"/>
  <c r="A5" i="7"/>
  <c r="A2" i="7"/>
  <c r="I3" i="4"/>
  <c r="I5" i="7" s="1"/>
  <c r="C3" i="4"/>
  <c r="G5" i="7" s="1"/>
  <c r="J3" i="2"/>
  <c r="B14" i="7" l="1"/>
  <c r="H13" i="7"/>
  <c r="H12" i="7"/>
</calcChain>
</file>

<file path=xl/sharedStrings.xml><?xml version="1.0" encoding="utf-8"?>
<sst xmlns="http://schemas.openxmlformats.org/spreadsheetml/2006/main" count="225" uniqueCount="89">
  <si>
    <t>Computer Name</t>
  </si>
  <si>
    <t>Depart</t>
  </si>
  <si>
    <t>Location</t>
  </si>
  <si>
    <t>Type</t>
  </si>
  <si>
    <t>Serial No.</t>
  </si>
  <si>
    <t>User Name</t>
  </si>
  <si>
    <t>Mouse</t>
  </si>
  <si>
    <t>Keyboard</t>
  </si>
  <si>
    <t>Adepter</t>
  </si>
  <si>
    <t>PF54X1CG</t>
  </si>
  <si>
    <t>/</t>
  </si>
  <si>
    <t>Notebook</t>
  </si>
  <si>
    <t>Brand</t>
  </si>
  <si>
    <t>Dell</t>
  </si>
  <si>
    <t>HR</t>
  </si>
  <si>
    <t>Office</t>
  </si>
  <si>
    <t>PVilaikan</t>
  </si>
  <si>
    <t>Pachari Wongmuang [Pla]</t>
  </si>
  <si>
    <t>inbound</t>
  </si>
  <si>
    <t>inbound01</t>
  </si>
  <si>
    <t>PC</t>
  </si>
  <si>
    <t>GM0RFR3W</t>
  </si>
  <si>
    <t>Lenovo</t>
  </si>
  <si>
    <t>Salinthip Seesuwong</t>
  </si>
  <si>
    <t>B2B</t>
  </si>
  <si>
    <t>Salinthip-Seesuwong-B2B</t>
  </si>
  <si>
    <t>PF5504GA</t>
  </si>
  <si>
    <t>Monitor</t>
  </si>
  <si>
    <t>Inbound4</t>
  </si>
  <si>
    <t>7BV3BG3</t>
  </si>
  <si>
    <t>หัวหน้าB2B</t>
  </si>
  <si>
    <t>B2B01</t>
  </si>
  <si>
    <t>GM0RFR4T</t>
  </si>
  <si>
    <t>8KPQMJ3</t>
  </si>
  <si>
    <t>BZ6BNJ3</t>
  </si>
  <si>
    <t>Series</t>
  </si>
  <si>
    <t>Inspiron 15 3511</t>
  </si>
  <si>
    <t>Warranty</t>
  </si>
  <si>
    <t>End</t>
  </si>
  <si>
    <t>ขาพับจอเสีย</t>
  </si>
  <si>
    <t>Damage</t>
  </si>
  <si>
    <t>DZJ2HG3</t>
  </si>
  <si>
    <t>Latitude 3420</t>
  </si>
  <si>
    <t>ช่องUSBเสีย2ช่อง</t>
  </si>
  <si>
    <t>C5BRMJ3</t>
  </si>
  <si>
    <t>5R76NJ3</t>
  </si>
  <si>
    <t>75QWXQ2</t>
  </si>
  <si>
    <t>Latitude 3490</t>
  </si>
  <si>
    <t>แบตเสื่อม</t>
  </si>
  <si>
    <t>41G2HG3</t>
  </si>
  <si>
    <t>PF54ZFSQ</t>
  </si>
  <si>
    <t>พ.ย. 2026</t>
  </si>
  <si>
    <t>IdeaPad Slim 3 14IAH8 - Type 83EQ</t>
  </si>
  <si>
    <t>คงเหลือ</t>
  </si>
  <si>
    <t>PF5495LL</t>
  </si>
  <si>
    <t>IdeaPad Slim 3 15IRH8 - Type 83EM</t>
  </si>
  <si>
    <t>GM0J67S6</t>
  </si>
  <si>
    <t>GM0J67NY</t>
  </si>
  <si>
    <t>2N7LSH3</t>
  </si>
  <si>
    <t>GM0J67LZ</t>
  </si>
  <si>
    <t>GM0J67N0</t>
  </si>
  <si>
    <t>GM0J67P2</t>
  </si>
  <si>
    <t>GM0J67R5</t>
  </si>
  <si>
    <t>GM0J67PS</t>
  </si>
  <si>
    <t>GM0J67PF</t>
  </si>
  <si>
    <t>GM0J67S3</t>
  </si>
  <si>
    <t>GM0J67NV</t>
  </si>
  <si>
    <t>V55t Gen 2 13ACN Desktop (Lenovo) - Type 11RN</t>
  </si>
  <si>
    <t>มี.ค. 2027</t>
  </si>
  <si>
    <t>รายการเบิก</t>
  </si>
  <si>
    <t>จำนวนเบิก</t>
  </si>
  <si>
    <t>OptiPlex 3080 Tower</t>
  </si>
  <si>
    <t>ภาพรวมการจัดการทรัพย์สิน</t>
  </si>
  <si>
    <t>อุปกรณ์ที่ใช้งาน</t>
  </si>
  <si>
    <t>คอมพิวเตอร์ในสต็อก</t>
  </si>
  <si>
    <t>รายการชำรุด</t>
  </si>
  <si>
    <t>เมาส์คงเหลือ</t>
  </si>
  <si>
    <t>คีย์บอร์ดคงเหลือ</t>
  </si>
  <si>
    <t>อุปกรณ์ที่ใช้งานตามประเภท</t>
  </si>
  <si>
    <t>อุปกรณ์เสริมคงเหลือ</t>
  </si>
  <si>
    <t>สาเหตุของรายการชำรุด</t>
  </si>
  <si>
    <t>เปิดชีตข้อมูล</t>
  </si>
  <si>
    <t>ประเภท</t>
  </si>
  <si>
    <t>จำนวน</t>
  </si>
  <si>
    <t>อื่น ๆ</t>
  </si>
  <si>
    <t>อุปกรณ์</t>
  </si>
  <si>
    <t>เมาส์</t>
  </si>
  <si>
    <t>คีย์บอร์ด</t>
  </si>
  <si>
    <t>สาเหตุ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</si>
</sst>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22"/>
      <color rgb="FFFFFFFF"/>
      <name val="Tahoma"/>
      <family val="2"/>
    </font>
    <font>
      <sz val="10"/>
      <color rgb="FF5A6E73"/>
      <name val="Tahoma"/>
      <family val="2"/>
    </font>
    <font>
      <b/>
      <sz val="10"/>
      <color rgb="FFFFFFFF"/>
      <name val="Tahoma"/>
      <family val="2"/>
    </font>
    <font>
      <b/>
      <sz val="24"/>
      <color rgb="FF1F6F78"/>
      <name val="Tahoma"/>
      <family val="2"/>
    </font>
    <font>
      <b/>
      <sz val="24"/>
      <color rgb="FF30698F"/>
      <name val="Tahoma"/>
      <family val="2"/>
    </font>
    <font>
      <b/>
      <sz val="24"/>
      <color rgb="FFC06543"/>
      <name val="Tahoma"/>
      <family val="2"/>
    </font>
    <font>
      <b/>
      <sz val="24"/>
      <color rgb="FF5D845E"/>
      <name val="Tahoma"/>
      <family val="2"/>
    </font>
    <font>
      <b/>
      <sz val="24"/>
      <color rgb="FFB38938"/>
      <name val="Tahoma"/>
      <family val="2"/>
    </font>
    <font>
      <b/>
      <sz val="10"/>
      <color theme="1"/>
      <name val="Tahoma"/>
      <family val="2"/>
    </font>
    <font>
      <b/>
      <sz val="10"/>
      <color rgb="FF183740"/>
      <name val="Tahoma"/>
      <family val="2"/>
    </font>
    <font>
      <b/>
      <sz val="10"/>
      <color rgb="FF82432A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rgb="FF1F6F7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183740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F3F7F6"/>
        <bgColor indexed="64"/>
      </patternFill>
    </fill>
    <fill>
      <patternFill patternType="solid">
        <fgColor rgb="FF30698F"/>
        <bgColor indexed="64"/>
      </patternFill>
    </fill>
    <fill>
      <patternFill patternType="solid">
        <fgColor rgb="FFC06543"/>
        <bgColor indexed="64"/>
      </patternFill>
    </fill>
    <fill>
      <patternFill patternType="solid">
        <fgColor rgb="FF5D845E"/>
        <bgColor indexed="64"/>
      </patternFill>
    </fill>
    <fill>
      <patternFill patternType="solid">
        <fgColor rgb="FFB38938"/>
        <bgColor indexed="64"/>
      </patternFill>
    </fill>
    <fill>
      <patternFill patternType="solid">
        <fgColor rgb="FFE2EEEC"/>
        <bgColor indexed="64"/>
      </patternFill>
    </fill>
    <fill>
      <patternFill patternType="solid">
        <fgColor rgb="FFFAEBE1"/>
        <bgColor indexed="64"/>
      </patternFill>
    </fill>
    <fill>
      <patternFill patternType="solid">
        <fgColor rgb="FFEFF3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2" fillId="0" borderId="0" xfId="0" applyFont="1"/>
    <xf numFmtId="0" fontId="11" fillId="12" borderId="2" xfId="0" applyFont="1" applyFill="1" applyBorder="1"/>
    <xf numFmtId="0" fontId="2" fillId="0" borderId="2" xfId="0" applyFont="1" applyBorder="1"/>
    <xf numFmtId="3" fontId="2" fillId="0" borderId="2" xfId="0" applyNumberFormat="1" applyFont="1" applyBorder="1"/>
    <xf numFmtId="0" fontId="15" fillId="0" borderId="0" xfId="1" applyFont="1"/>
    <xf numFmtId="0" fontId="5" fillId="9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10" borderId="0" xfId="0" applyFont="1" applyFill="1"/>
    <xf numFmtId="0" fontId="13" fillId="11" borderId="0" xfId="0" applyFont="1" applyFill="1"/>
    <xf numFmtId="0" fontId="3" fillId="3" borderId="0" xfId="0" applyFont="1" applyFill="1" applyAlignment="1">
      <alignment vertical="center"/>
    </xf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สัดส่วนอุปกรณ์ที่ใช้งาน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จำนวน</c:v>
                </c:pt>
              </c:strCache>
            </c:strRef>
          </c:tx>
          <c:cat>
            <c:strRef>
              <c:f>Dashboard!$A$12:$A$13</c:f>
              <c:strCache>
                <c:ptCount val="2"/>
                <c:pt idx="0">
                  <c:v>Notebook</c:v>
                </c:pt>
                <c:pt idx="1">
                  <c:v>PC</c:v>
                </c:pt>
              </c:strCache>
            </c:strRef>
          </c:cat>
          <c:val>
            <c:numRef>
              <c:f>Dashboard!$B$12:$B$13</c:f>
              <c:numCache>
                <c:formatCode>#,##0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0-4715-9DEA-76DAF1729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/>
              <a:t>จำนวนตามสาเหตุชำรุด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จำนวน</c:v>
                </c:pt>
              </c:strCache>
            </c:strRef>
          </c:tx>
          <c:invertIfNegative val="0"/>
          <c:cat>
            <c:strRef>
              <c:f>Dashboard!$A$19:$A$21</c:f>
              <c:strCache>
                <c:ptCount val="3"/>
                <c:pt idx="0">
                  <c:v>ขาพับจอเสีย</c:v>
                </c:pt>
                <c:pt idx="1">
                  <c:v>ช่องUSBเสีย2ช่อง</c:v>
                </c:pt>
                <c:pt idx="2">
                  <c:v>แบตเสื่อม</c:v>
                </c:pt>
              </c:strCache>
            </c:strRef>
          </c:cat>
          <c:val>
            <c:numRef>
              <c:f>Dashboard!$B$19:$B$21</c:f>
              <c:numCache>
                <c:formatCode>#,##0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E7-454B-B173-78BF7357F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864063"/>
        <c:axId val="1094839343"/>
      </c:barChart>
      <c:catAx>
        <c:axId val="1162864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94839343"/>
        <c:crosses val="autoZero"/>
        <c:auto val="1"/>
        <c:lblAlgn val="ctr"/>
        <c:lblOffset val="100"/>
        <c:noMultiLvlLbl val="0"/>
      </c:catAx>
      <c:valAx>
        <c:axId val="1094839343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11628640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23</xdr:row>
      <xdr:rowOff>88900</xdr:rowOff>
    </xdr:from>
    <xdr:to>
      <xdr:col>6</xdr:col>
      <xdr:colOff>45720</xdr:colOff>
      <xdr:row>42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D9D99-C9AD-717D-5063-04BB08B20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363220</xdr:colOff>
      <xdr:row>23</xdr:row>
      <xdr:rowOff>88900</xdr:rowOff>
    </xdr:from>
    <xdr:to>
      <xdr:col>14</xdr:col>
      <xdr:colOff>304800</xdr:colOff>
      <xdr:row>42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FD57F5-B020-F4F6-51FF-44BA813BA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0869-FC7F-46D8-A49E-902942BCACED}">
  <sheetPr>
    <tabColor rgb="FF1F6F78"/>
    <pageSetUpPr fitToPage="1"/>
  </sheetPr>
  <dimension ref="A1:J21"/>
  <sheetViews>
    <sheetView showGridLines="0" tabSelected="1" workbookViewId="0"/>
  </sheetViews>
  <sheetFormatPr defaultRowHeight="13.2" x14ac:dyDescent="0.25"/>
  <cols>
    <col min="1" max="10" width="13.77734375" style="5" customWidth="1"/>
    <col min="11" max="16384" width="8.88671875" style="5"/>
  </cols>
  <sheetData>
    <row r="1" spans="1:10" ht="37.950000000000003" customHeight="1" x14ac:dyDescent="0.25">
      <c r="A1" s="14" t="s">
        <v>72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4" customHeight="1" x14ac:dyDescent="0.25">
      <c r="A2" s="15" t="str">
        <f ca="1">"สรุปรายการทรัพย์สินและสต็อก  |  อัปเดต "&amp;TEXT(TODAY(),"dd mmm yyyy")</f>
        <v>สรุปรายการทรัพย์สินและสต็อก  |  อัปเดต 30 Sep 2026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25.05" customHeight="1" x14ac:dyDescent="0.25">
      <c r="A4" s="16" t="s">
        <v>73</v>
      </c>
      <c r="B4" s="16"/>
      <c r="C4" s="18" t="s">
        <v>74</v>
      </c>
      <c r="D4" s="18"/>
      <c r="E4" s="20" t="s">
        <v>75</v>
      </c>
      <c r="F4" s="20"/>
      <c r="G4" s="22" t="s">
        <v>76</v>
      </c>
      <c r="H4" s="22"/>
      <c r="I4" s="10" t="s">
        <v>77</v>
      </c>
      <c r="J4" s="10"/>
    </row>
    <row r="5" spans="1:10" ht="28.05" customHeight="1" x14ac:dyDescent="0.25">
      <c r="A5" s="17">
        <f>COUNTA(Asset!A2:A1000)</f>
        <v>5</v>
      </c>
      <c r="B5" s="17"/>
      <c r="C5" s="19">
        <f>COUNTA('Stock IT'!B2:B1000)</f>
        <v>14</v>
      </c>
      <c r="D5" s="19"/>
      <c r="E5" s="21">
        <f>COUNTA(Damage!B2:B1000)</f>
        <v>6</v>
      </c>
      <c r="F5" s="21"/>
      <c r="G5" s="23">
        <f>IFERROR('Mouse,Key'!C3,'Mouse,Key'!D2)</f>
        <v>23</v>
      </c>
      <c r="H5" s="23"/>
      <c r="I5" s="11">
        <f>IFERROR('Mouse,Key'!I3,'Mouse,Key'!J2)</f>
        <v>15</v>
      </c>
      <c r="J5" s="11"/>
    </row>
    <row r="6" spans="1:10" ht="22.05" customHeight="1" x14ac:dyDescent="0.25">
      <c r="A6" s="17"/>
      <c r="B6" s="17"/>
      <c r="C6" s="19"/>
      <c r="D6" s="19"/>
      <c r="E6" s="21"/>
      <c r="F6" s="21"/>
      <c r="G6" s="23"/>
      <c r="H6" s="23"/>
      <c r="I6" s="11"/>
      <c r="J6" s="11"/>
    </row>
    <row r="10" spans="1:10" x14ac:dyDescent="0.25">
      <c r="A10" s="12" t="s">
        <v>78</v>
      </c>
      <c r="B10" s="12"/>
      <c r="D10" s="12" t="s">
        <v>74</v>
      </c>
      <c r="E10" s="12"/>
      <c r="G10" s="12" t="s">
        <v>79</v>
      </c>
      <c r="H10" s="12"/>
    </row>
    <row r="11" spans="1:10" x14ac:dyDescent="0.25">
      <c r="A11" s="6" t="s">
        <v>82</v>
      </c>
      <c r="B11" s="6" t="s">
        <v>83</v>
      </c>
      <c r="D11" s="6" t="s">
        <v>82</v>
      </c>
      <c r="E11" s="6" t="s">
        <v>83</v>
      </c>
      <c r="G11" s="6" t="s">
        <v>85</v>
      </c>
      <c r="H11" s="6" t="s">
        <v>53</v>
      </c>
    </row>
    <row r="12" spans="1:10" x14ac:dyDescent="0.25">
      <c r="A12" s="7" t="s">
        <v>11</v>
      </c>
      <c r="B12" s="8">
        <f>COUNTIF(Asset!E2:E1000,"Notebook")</f>
        <v>3</v>
      </c>
      <c r="D12" s="7" t="s">
        <v>11</v>
      </c>
      <c r="E12" s="8">
        <f>COUNTIF('Stock IT'!A2:A1000,"Notebook")</f>
        <v>3</v>
      </c>
      <c r="G12" s="7" t="s">
        <v>86</v>
      </c>
      <c r="H12" s="8">
        <f>IFERROR('Mouse,Key'!C3,'Mouse,Key'!D2)</f>
        <v>23</v>
      </c>
    </row>
    <row r="13" spans="1:10" x14ac:dyDescent="0.25">
      <c r="A13" s="7" t="s">
        <v>20</v>
      </c>
      <c r="B13" s="8">
        <f>COUNTIF(Asset!E2:E1000,"PC")</f>
        <v>2</v>
      </c>
      <c r="D13" s="7" t="s">
        <v>20</v>
      </c>
      <c r="E13" s="8">
        <f>COUNTIF('Stock IT'!A2:A1000,"PC")</f>
        <v>11</v>
      </c>
      <c r="G13" s="7" t="s">
        <v>87</v>
      </c>
      <c r="H13" s="8">
        <f>IFERROR('Mouse,Key'!I3,'Mouse,Key'!J2)</f>
        <v>15</v>
      </c>
    </row>
    <row r="14" spans="1:10" x14ac:dyDescent="0.25">
      <c r="A14" s="7" t="s">
        <v>84</v>
      </c>
      <c r="B14" s="8">
        <f>COUNTA(Asset!E2:E1000)-SUM(B12:B13)</f>
        <v>0</v>
      </c>
    </row>
    <row r="17" spans="1:10" x14ac:dyDescent="0.25">
      <c r="A17" s="13" t="s">
        <v>80</v>
      </c>
      <c r="B17" s="13"/>
      <c r="D17" s="12" t="s">
        <v>81</v>
      </c>
      <c r="E17" s="12"/>
      <c r="F17" s="12"/>
      <c r="G17" s="12"/>
      <c r="H17" s="12"/>
      <c r="I17" s="12"/>
      <c r="J17" s="12"/>
    </row>
    <row r="18" spans="1:10" ht="14.4" x14ac:dyDescent="0.3">
      <c r="A18" s="6" t="s">
        <v>88</v>
      </c>
      <c r="B18" s="6" t="s">
        <v>83</v>
      </c>
      <c r="D18" s="9" t="str">
        <f>HYPERLINK("#'Asset'!A1","รายการทรัพย์สินที่ใช้งาน")</f>
        <v>รายการทรัพย์สินที่ใช้งาน</v>
      </c>
    </row>
    <row r="19" spans="1:10" ht="14.4" x14ac:dyDescent="0.3">
      <c r="A19" s="7" t="s">
        <v>39</v>
      </c>
      <c r="B19" s="8">
        <f>COUNTIF(Damage!G2:G1000,"*"&amp;A19&amp;"*")</f>
        <v>3</v>
      </c>
      <c r="D19" s="9" t="str">
        <f>HYPERLINK("#'Stock IT'!A1","สต็อกคอมพิวเตอร์")</f>
        <v>สต็อกคอมพิวเตอร์</v>
      </c>
    </row>
    <row r="20" spans="1:10" ht="14.4" x14ac:dyDescent="0.3">
      <c r="A20" s="7" t="s">
        <v>43</v>
      </c>
      <c r="B20" s="8">
        <f>COUNTIF(Damage!G2:G1000,"*"&amp;A20&amp;"*")</f>
        <v>2</v>
      </c>
      <c r="D20" s="9" t="str">
        <f>HYPERLINK("#'Mouse,Key'!A1","สต็อกเมาส์และคีย์บอร์ด")</f>
        <v>สต็อกเมาส์และคีย์บอร์ด</v>
      </c>
    </row>
    <row r="21" spans="1:10" ht="14.4" x14ac:dyDescent="0.3">
      <c r="A21" s="7" t="s">
        <v>48</v>
      </c>
      <c r="B21" s="8">
        <f>COUNTIF(Damage!G2:G1000,"*"&amp;A21&amp;"*")</f>
        <v>1</v>
      </c>
      <c r="D21" s="9" t="str">
        <f>HYPERLINK("#'Damage'!A1","รายการชำรุด")</f>
        <v>รายการชำรุด</v>
      </c>
    </row>
  </sheetData>
  <mergeCells count="17">
    <mergeCell ref="I4:J4"/>
    <mergeCell ref="I5:J6"/>
    <mergeCell ref="A10:B10"/>
    <mergeCell ref="D10:E10"/>
    <mergeCell ref="G10:H10"/>
    <mergeCell ref="A17:B17"/>
    <mergeCell ref="D17:J17"/>
    <mergeCell ref="A1:J1"/>
    <mergeCell ref="A2:J2"/>
    <mergeCell ref="A4:B4"/>
    <mergeCell ref="A5:B6"/>
    <mergeCell ref="C4:D4"/>
    <mergeCell ref="C5:D6"/>
    <mergeCell ref="E4:F4"/>
    <mergeCell ref="E5:F6"/>
    <mergeCell ref="G4:H4"/>
    <mergeCell ref="G5:H6"/>
  </mergeCells>
  <pageMargins left="0.7" right="0.7" top="0.75" bottom="0.75" header="0.3" footer="0.3"/>
  <pageSetup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C828-06AF-49BC-AAA9-2108AD591E80}">
  <dimension ref="A1:K6"/>
  <sheetViews>
    <sheetView workbookViewId="0">
      <selection activeCell="E21" sqref="E21"/>
    </sheetView>
  </sheetViews>
  <sheetFormatPr defaultRowHeight="14.4" x14ac:dyDescent="0.3"/>
  <cols>
    <col min="1" max="1" width="17.6640625" bestFit="1" customWidth="1"/>
    <col min="3" max="3" width="14.5546875" style="1" bestFit="1" customWidth="1"/>
    <col min="4" max="4" width="21.88671875" bestFit="1" customWidth="1"/>
    <col min="5" max="5" width="9.21875" bestFit="1" customWidth="1"/>
    <col min="6" max="6" width="10.77734375" bestFit="1" customWidth="1"/>
    <col min="7" max="7" width="9.21875" customWidth="1"/>
  </cols>
  <sheetData>
    <row r="1" spans="1:11" x14ac:dyDescent="0.3">
      <c r="A1" s="3" t="s">
        <v>5</v>
      </c>
      <c r="B1" s="3" t="s">
        <v>1</v>
      </c>
      <c r="C1" s="4" t="s">
        <v>2</v>
      </c>
      <c r="D1" s="3" t="s">
        <v>0</v>
      </c>
      <c r="E1" s="3" t="s">
        <v>3</v>
      </c>
      <c r="F1" s="3" t="s">
        <v>4</v>
      </c>
      <c r="G1" s="3" t="s">
        <v>12</v>
      </c>
      <c r="H1" s="3" t="s">
        <v>8</v>
      </c>
      <c r="I1" s="3" t="s">
        <v>6</v>
      </c>
      <c r="J1" s="3" t="s">
        <v>7</v>
      </c>
      <c r="K1" s="3" t="s">
        <v>27</v>
      </c>
    </row>
    <row r="2" spans="1:11" x14ac:dyDescent="0.3">
      <c r="A2" t="s">
        <v>16</v>
      </c>
      <c r="B2" t="s">
        <v>14</v>
      </c>
      <c r="C2" s="1" t="s">
        <v>15</v>
      </c>
      <c r="D2" t="s">
        <v>16</v>
      </c>
      <c r="E2" t="s">
        <v>11</v>
      </c>
      <c r="F2" t="s">
        <v>9</v>
      </c>
      <c r="G2" t="s">
        <v>13</v>
      </c>
      <c r="H2" s="2" t="s">
        <v>10</v>
      </c>
      <c r="I2" s="2" t="s">
        <v>10</v>
      </c>
    </row>
    <row r="3" spans="1:11" x14ac:dyDescent="0.3">
      <c r="A3" t="s">
        <v>17</v>
      </c>
      <c r="B3" t="s">
        <v>18</v>
      </c>
      <c r="C3" s="1" t="s">
        <v>18</v>
      </c>
      <c r="D3" t="s">
        <v>19</v>
      </c>
      <c r="E3" t="s">
        <v>20</v>
      </c>
      <c r="F3" t="s">
        <v>21</v>
      </c>
      <c r="G3" t="s">
        <v>22</v>
      </c>
      <c r="I3" s="2" t="s">
        <v>10</v>
      </c>
      <c r="J3" s="2" t="s">
        <v>10</v>
      </c>
      <c r="K3" s="2" t="s">
        <v>10</v>
      </c>
    </row>
    <row r="4" spans="1:11" x14ac:dyDescent="0.3">
      <c r="A4" t="s">
        <v>23</v>
      </c>
      <c r="B4" t="s">
        <v>24</v>
      </c>
      <c r="C4" s="1" t="s">
        <v>24</v>
      </c>
      <c r="D4" t="s">
        <v>25</v>
      </c>
      <c r="E4" t="s">
        <v>11</v>
      </c>
      <c r="F4" t="s">
        <v>26</v>
      </c>
      <c r="G4" t="s">
        <v>22</v>
      </c>
      <c r="H4" s="2" t="s">
        <v>10</v>
      </c>
      <c r="I4" s="2" t="s">
        <v>10</v>
      </c>
    </row>
    <row r="5" spans="1:11" x14ac:dyDescent="0.3">
      <c r="A5" t="s">
        <v>17</v>
      </c>
      <c r="B5" t="s">
        <v>18</v>
      </c>
      <c r="C5" s="1" t="s">
        <v>18</v>
      </c>
      <c r="D5" t="s">
        <v>28</v>
      </c>
      <c r="E5" t="s">
        <v>11</v>
      </c>
      <c r="F5" t="s">
        <v>29</v>
      </c>
      <c r="G5" t="s">
        <v>13</v>
      </c>
      <c r="H5" s="2" t="s">
        <v>10</v>
      </c>
      <c r="I5" s="2" t="s">
        <v>10</v>
      </c>
    </row>
    <row r="6" spans="1:11" x14ac:dyDescent="0.3">
      <c r="A6" t="s">
        <v>30</v>
      </c>
      <c r="B6" t="s">
        <v>24</v>
      </c>
      <c r="C6" s="1" t="s">
        <v>24</v>
      </c>
      <c r="D6" t="s">
        <v>31</v>
      </c>
      <c r="E6" t="s">
        <v>20</v>
      </c>
      <c r="F6" t="s">
        <v>32</v>
      </c>
      <c r="G6" t="s">
        <v>22</v>
      </c>
      <c r="I6" s="2" t="s">
        <v>10</v>
      </c>
      <c r="J6" s="2" t="s">
        <v>10</v>
      </c>
      <c r="K6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7EBA-7F8A-4E7E-9F1F-113582E98BAE}">
  <dimension ref="A1:K15"/>
  <sheetViews>
    <sheetView workbookViewId="0">
      <selection activeCell="H1" sqref="H1:K3"/>
    </sheetView>
  </sheetViews>
  <sheetFormatPr defaultRowHeight="14.4" x14ac:dyDescent="0.3"/>
  <cols>
    <col min="1" max="1" width="9.21875" bestFit="1" customWidth="1"/>
    <col min="2" max="2" width="9.88671875" bestFit="1" customWidth="1"/>
    <col min="4" max="4" width="41.6640625" bestFit="1" customWidth="1"/>
    <col min="5" max="5" width="14.5546875" customWidth="1"/>
    <col min="8" max="8" width="18.21875" customWidth="1"/>
    <col min="9" max="9" width="9.6640625" bestFit="1" customWidth="1"/>
  </cols>
  <sheetData>
    <row r="1" spans="1:11" x14ac:dyDescent="0.3">
      <c r="A1" s="3" t="s">
        <v>3</v>
      </c>
      <c r="B1" s="3" t="s">
        <v>4</v>
      </c>
      <c r="C1" s="3" t="s">
        <v>12</v>
      </c>
      <c r="D1" s="3" t="s">
        <v>35</v>
      </c>
      <c r="E1" s="3" t="s">
        <v>37</v>
      </c>
      <c r="F1" s="3" t="s">
        <v>8</v>
      </c>
      <c r="H1" s="24" t="s">
        <v>6</v>
      </c>
      <c r="I1" s="24"/>
      <c r="J1" s="24"/>
      <c r="K1" s="24"/>
    </row>
    <row r="2" spans="1:11" x14ac:dyDescent="0.3">
      <c r="A2" t="s">
        <v>11</v>
      </c>
      <c r="B2" t="s">
        <v>33</v>
      </c>
      <c r="C2" t="s">
        <v>13</v>
      </c>
      <c r="D2" t="s">
        <v>36</v>
      </c>
      <c r="E2" t="s">
        <v>38</v>
      </c>
      <c r="F2" s="2" t="s">
        <v>10</v>
      </c>
      <c r="H2" s="3" t="s">
        <v>69</v>
      </c>
      <c r="I2" s="3" t="s">
        <v>70</v>
      </c>
      <c r="J2" s="3" t="s">
        <v>53</v>
      </c>
      <c r="K2">
        <v>23</v>
      </c>
    </row>
    <row r="3" spans="1:11" x14ac:dyDescent="0.3">
      <c r="A3" t="s">
        <v>11</v>
      </c>
      <c r="B3" t="s">
        <v>50</v>
      </c>
      <c r="C3" t="s">
        <v>22</v>
      </c>
      <c r="D3" t="s">
        <v>52</v>
      </c>
      <c r="E3" t="s">
        <v>51</v>
      </c>
      <c r="F3" s="2" t="s">
        <v>10</v>
      </c>
      <c r="J3">
        <f>K2-I3</f>
        <v>23</v>
      </c>
    </row>
    <row r="4" spans="1:11" x14ac:dyDescent="0.3">
      <c r="A4" t="s">
        <v>11</v>
      </c>
      <c r="B4" t="s">
        <v>54</v>
      </c>
      <c r="C4" t="s">
        <v>22</v>
      </c>
      <c r="D4" t="s">
        <v>55</v>
      </c>
      <c r="E4" t="s">
        <v>38</v>
      </c>
      <c r="F4" s="2" t="s">
        <v>10</v>
      </c>
    </row>
    <row r="5" spans="1:11" x14ac:dyDescent="0.3">
      <c r="A5" t="s">
        <v>20</v>
      </c>
      <c r="B5" t="s">
        <v>56</v>
      </c>
      <c r="C5" t="s">
        <v>22</v>
      </c>
      <c r="D5" t="s">
        <v>67</v>
      </c>
      <c r="E5" t="s">
        <v>68</v>
      </c>
    </row>
    <row r="6" spans="1:11" x14ac:dyDescent="0.3">
      <c r="A6" t="s">
        <v>20</v>
      </c>
      <c r="B6" t="s">
        <v>57</v>
      </c>
      <c r="C6" t="s">
        <v>22</v>
      </c>
      <c r="D6" t="s">
        <v>67</v>
      </c>
      <c r="E6" t="s">
        <v>68</v>
      </c>
    </row>
    <row r="7" spans="1:11" x14ac:dyDescent="0.3">
      <c r="A7" t="s">
        <v>20</v>
      </c>
      <c r="B7" t="s">
        <v>58</v>
      </c>
      <c r="C7" t="s">
        <v>13</v>
      </c>
      <c r="D7" t="s">
        <v>71</v>
      </c>
      <c r="E7" t="s">
        <v>38</v>
      </c>
    </row>
    <row r="8" spans="1:11" x14ac:dyDescent="0.3">
      <c r="A8" t="s">
        <v>20</v>
      </c>
      <c r="B8" t="s">
        <v>59</v>
      </c>
      <c r="C8" t="s">
        <v>22</v>
      </c>
      <c r="D8" t="s">
        <v>67</v>
      </c>
      <c r="E8" t="s">
        <v>68</v>
      </c>
    </row>
    <row r="9" spans="1:11" x14ac:dyDescent="0.3">
      <c r="A9" t="s">
        <v>20</v>
      </c>
      <c r="B9" t="s">
        <v>60</v>
      </c>
      <c r="C9" t="s">
        <v>22</v>
      </c>
      <c r="D9" t="s">
        <v>67</v>
      </c>
      <c r="E9" t="s">
        <v>68</v>
      </c>
    </row>
    <row r="10" spans="1:11" x14ac:dyDescent="0.3">
      <c r="A10" t="s">
        <v>20</v>
      </c>
      <c r="B10" t="s">
        <v>61</v>
      </c>
      <c r="C10" t="s">
        <v>22</v>
      </c>
      <c r="D10" t="s">
        <v>67</v>
      </c>
      <c r="E10" t="s">
        <v>68</v>
      </c>
    </row>
    <row r="11" spans="1:11" x14ac:dyDescent="0.3">
      <c r="A11" t="s">
        <v>20</v>
      </c>
      <c r="B11" t="s">
        <v>62</v>
      </c>
      <c r="C11" t="s">
        <v>22</v>
      </c>
      <c r="D11" t="s">
        <v>67</v>
      </c>
      <c r="E11" t="s">
        <v>68</v>
      </c>
    </row>
    <row r="12" spans="1:11" x14ac:dyDescent="0.3">
      <c r="A12" t="s">
        <v>20</v>
      </c>
      <c r="B12" t="s">
        <v>63</v>
      </c>
      <c r="C12" t="s">
        <v>22</v>
      </c>
      <c r="D12" t="s">
        <v>67</v>
      </c>
      <c r="E12" t="s">
        <v>68</v>
      </c>
    </row>
    <row r="13" spans="1:11" x14ac:dyDescent="0.3">
      <c r="A13" t="s">
        <v>20</v>
      </c>
      <c r="B13" t="s">
        <v>64</v>
      </c>
      <c r="C13" t="s">
        <v>22</v>
      </c>
      <c r="D13" t="s">
        <v>67</v>
      </c>
      <c r="E13" t="s">
        <v>68</v>
      </c>
    </row>
    <row r="14" spans="1:11" x14ac:dyDescent="0.3">
      <c r="A14" t="s">
        <v>20</v>
      </c>
      <c r="B14" t="s">
        <v>65</v>
      </c>
      <c r="C14" t="s">
        <v>22</v>
      </c>
      <c r="D14" t="s">
        <v>67</v>
      </c>
      <c r="E14" t="s">
        <v>68</v>
      </c>
    </row>
    <row r="15" spans="1:11" x14ac:dyDescent="0.3">
      <c r="A15" t="s">
        <v>20</v>
      </c>
      <c r="B15" t="s">
        <v>66</v>
      </c>
      <c r="C15" t="s">
        <v>22</v>
      </c>
      <c r="D15" t="s">
        <v>67</v>
      </c>
      <c r="E15" t="s">
        <v>68</v>
      </c>
    </row>
  </sheetData>
  <mergeCells count="1">
    <mergeCell ref="H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8FC5-E2A6-47AE-9326-E71CE96F9418}">
  <dimension ref="A1:J3"/>
  <sheetViews>
    <sheetView workbookViewId="0">
      <selection activeCell="I7" sqref="I7"/>
    </sheetView>
  </sheetViews>
  <sheetFormatPr defaultRowHeight="14.4" x14ac:dyDescent="0.3"/>
  <cols>
    <col min="1" max="1" width="21.88671875" customWidth="1"/>
    <col min="2" max="2" width="12.6640625" customWidth="1"/>
    <col min="7" max="7" width="24.44140625" customWidth="1"/>
    <col min="8" max="8" width="9.6640625" bestFit="1" customWidth="1"/>
  </cols>
  <sheetData>
    <row r="1" spans="1:10" x14ac:dyDescent="0.3">
      <c r="A1" s="24" t="s">
        <v>6</v>
      </c>
      <c r="B1" s="24"/>
      <c r="C1" s="24"/>
      <c r="D1" s="24"/>
      <c r="G1" s="24" t="s">
        <v>7</v>
      </c>
      <c r="H1" s="24"/>
      <c r="I1" s="24"/>
      <c r="J1" s="24"/>
    </row>
    <row r="2" spans="1:10" x14ac:dyDescent="0.3">
      <c r="A2" s="3" t="s">
        <v>69</v>
      </c>
      <c r="B2" s="3" t="s">
        <v>70</v>
      </c>
      <c r="C2" s="3" t="s">
        <v>53</v>
      </c>
      <c r="D2">
        <v>23</v>
      </c>
      <c r="G2" s="3" t="s">
        <v>69</v>
      </c>
      <c r="H2" s="3" t="s">
        <v>70</v>
      </c>
      <c r="I2" s="3" t="s">
        <v>53</v>
      </c>
      <c r="J2">
        <v>15</v>
      </c>
    </row>
    <row r="3" spans="1:10" x14ac:dyDescent="0.3">
      <c r="C3">
        <f>D2-B3</f>
        <v>23</v>
      </c>
      <c r="I3">
        <f>J2-H3</f>
        <v>15</v>
      </c>
    </row>
  </sheetData>
  <mergeCells count="2">
    <mergeCell ref="A1:D1"/>
    <mergeCell ref="G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105B-E296-4D9E-9807-0B2BDD47F7C7}">
  <dimension ref="A1:G7"/>
  <sheetViews>
    <sheetView workbookViewId="0">
      <selection activeCell="G1" sqref="G1"/>
    </sheetView>
  </sheetViews>
  <sheetFormatPr defaultRowHeight="14.4" x14ac:dyDescent="0.3"/>
  <cols>
    <col min="1" max="1" width="13.109375" customWidth="1"/>
    <col min="2" max="2" width="14.21875" customWidth="1"/>
    <col min="4" max="4" width="14.5546875" bestFit="1" customWidth="1"/>
    <col min="7" max="7" width="15.33203125" bestFit="1" customWidth="1"/>
  </cols>
  <sheetData>
    <row r="1" spans="1:7" x14ac:dyDescent="0.3">
      <c r="A1" s="3" t="s">
        <v>3</v>
      </c>
      <c r="B1" s="3" t="s">
        <v>4</v>
      </c>
      <c r="C1" s="3" t="s">
        <v>12</v>
      </c>
      <c r="D1" s="3" t="s">
        <v>35</v>
      </c>
      <c r="E1" s="3" t="s">
        <v>8</v>
      </c>
      <c r="F1" s="3" t="s">
        <v>37</v>
      </c>
      <c r="G1" s="3" t="s">
        <v>40</v>
      </c>
    </row>
    <row r="2" spans="1:7" x14ac:dyDescent="0.3">
      <c r="A2" t="s">
        <v>11</v>
      </c>
      <c r="B2" t="s">
        <v>34</v>
      </c>
      <c r="C2" t="s">
        <v>13</v>
      </c>
      <c r="D2" t="s">
        <v>36</v>
      </c>
      <c r="E2" s="2"/>
      <c r="F2" t="s">
        <v>38</v>
      </c>
      <c r="G2" t="s">
        <v>39</v>
      </c>
    </row>
    <row r="3" spans="1:7" x14ac:dyDescent="0.3">
      <c r="A3" t="s">
        <v>11</v>
      </c>
      <c r="B3" t="s">
        <v>41</v>
      </c>
      <c r="C3" t="s">
        <v>13</v>
      </c>
      <c r="D3" t="s">
        <v>42</v>
      </c>
      <c r="E3" s="2" t="s">
        <v>10</v>
      </c>
      <c r="F3" t="s">
        <v>38</v>
      </c>
      <c r="G3" t="s">
        <v>43</v>
      </c>
    </row>
    <row r="4" spans="1:7" x14ac:dyDescent="0.3">
      <c r="A4" t="s">
        <v>11</v>
      </c>
      <c r="B4" t="s">
        <v>44</v>
      </c>
      <c r="C4" t="s">
        <v>13</v>
      </c>
      <c r="D4" t="s">
        <v>36</v>
      </c>
      <c r="E4" s="2" t="s">
        <v>10</v>
      </c>
      <c r="F4" t="s">
        <v>38</v>
      </c>
      <c r="G4" t="s">
        <v>39</v>
      </c>
    </row>
    <row r="5" spans="1:7" x14ac:dyDescent="0.3">
      <c r="A5" t="s">
        <v>11</v>
      </c>
      <c r="B5" t="s">
        <v>45</v>
      </c>
      <c r="C5" t="s">
        <v>13</v>
      </c>
      <c r="D5" t="s">
        <v>36</v>
      </c>
      <c r="F5" t="s">
        <v>38</v>
      </c>
      <c r="G5" t="s">
        <v>39</v>
      </c>
    </row>
    <row r="6" spans="1:7" x14ac:dyDescent="0.3">
      <c r="A6" t="s">
        <v>11</v>
      </c>
      <c r="B6" t="s">
        <v>46</v>
      </c>
      <c r="C6" t="s">
        <v>13</v>
      </c>
      <c r="D6" t="s">
        <v>47</v>
      </c>
      <c r="E6" s="2" t="s">
        <v>10</v>
      </c>
      <c r="F6" t="s">
        <v>38</v>
      </c>
      <c r="G6" t="s">
        <v>48</v>
      </c>
    </row>
    <row r="7" spans="1:7" x14ac:dyDescent="0.3">
      <c r="A7" t="s">
        <v>11</v>
      </c>
      <c r="B7" t="s">
        <v>49</v>
      </c>
      <c r="C7" t="s">
        <v>13</v>
      </c>
      <c r="D7" t="s">
        <v>42</v>
      </c>
      <c r="E7" s="2" t="s">
        <v>10</v>
      </c>
      <c r="F7" t="s">
        <v>38</v>
      </c>
      <c r="G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Asset</vt:lpstr>
      <vt:lpstr>Stock IT</vt:lpstr>
      <vt:lpstr>Mouse,Key</vt:lpstr>
      <vt:lpstr>Damage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Orawan Chaichot [TH-KEC]</dc:creator>
  <cp:lastModifiedBy>Orawan Chaichot [TH-KEC]</cp:lastModifiedBy>
  <dcterms:created xsi:type="dcterms:W3CDTF">2026-09-22T02:40:14Z</dcterms:created>
  <dcterms:modified xsi:type="dcterms:W3CDTF">2026-09-30T10:52:43Z</dcterms:modified>
</cp:coreProperties>
</file>